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 3 " sheetId="1" r:id="rId4"/>
    <sheet state="visible" name="day  5 practice assignments " sheetId="2" r:id="rId5"/>
    <sheet state="visible" name="Day 8 Assignment " sheetId="3" r:id="rId6"/>
    <sheet state="visible" name="Assignment  1  day  4" sheetId="4" r:id="rId7"/>
    <sheet state="visible" name="Assignment  2 day  4" sheetId="5" r:id="rId8"/>
    <sheet state="visible" name="Assignment 3 day 4" sheetId="6" r:id="rId9"/>
  </sheets>
  <definedNames/>
  <calcPr/>
</workbook>
</file>

<file path=xl/sharedStrings.xml><?xml version="1.0" encoding="utf-8"?>
<sst xmlns="http://schemas.openxmlformats.org/spreadsheetml/2006/main" count="337" uniqueCount="176">
  <si>
    <t>ASSIGNMENT 1</t>
  </si>
  <si>
    <t>First Name</t>
  </si>
  <si>
    <t>Middel Name</t>
  </si>
  <si>
    <t>Last Name</t>
  </si>
  <si>
    <t>Full name ( Flash Fil)</t>
  </si>
  <si>
    <t>Contect Text</t>
  </si>
  <si>
    <t>DOJ ( With Custom)</t>
  </si>
  <si>
    <t>IN Time</t>
  </si>
  <si>
    <t>Fees ( In Accounting)</t>
  </si>
  <si>
    <t>Total marks ( in number)</t>
  </si>
  <si>
    <t>Out of Marks ( Number)</t>
  </si>
  <si>
    <t>Persentage (General )</t>
  </si>
  <si>
    <t>Amit</t>
  </si>
  <si>
    <t>Kumar</t>
  </si>
  <si>
    <t>jha</t>
  </si>
  <si>
    <t>Amit Kumar jha</t>
  </si>
  <si>
    <t>12.00.00 AM</t>
  </si>
  <si>
    <t>₹ 12,000.0000</t>
  </si>
  <si>
    <t>Rohit</t>
  </si>
  <si>
    <t>Jha</t>
  </si>
  <si>
    <t>Rohit Kumar Jha</t>
  </si>
  <si>
    <t>₹ 50,000.0000</t>
  </si>
  <si>
    <t>Raghuvendr</t>
  </si>
  <si>
    <t>Babasaheb</t>
  </si>
  <si>
    <t>kedar</t>
  </si>
  <si>
    <t>Raghuvendr Babasaheb kedar</t>
  </si>
  <si>
    <t>2.00.00 AM</t>
  </si>
  <si>
    <t>₹ 6,000.0000</t>
  </si>
  <si>
    <t>rajeet</t>
  </si>
  <si>
    <t>rajeet Babasaheb kedar</t>
  </si>
  <si>
    <t>3.00.00 AM</t>
  </si>
  <si>
    <t>₹ 4,500.0000</t>
  </si>
  <si>
    <t>abhijeet</t>
  </si>
  <si>
    <t>ganpat</t>
  </si>
  <si>
    <t>Rao</t>
  </si>
  <si>
    <t>abhijeet ganpat Rao</t>
  </si>
  <si>
    <t>20-05-2003 00:00</t>
  </si>
  <si>
    <t>4.00.00 AM</t>
  </si>
  <si>
    <t>₹ 2,000.0000</t>
  </si>
  <si>
    <t>Ganesh</t>
  </si>
  <si>
    <t>vijay</t>
  </si>
  <si>
    <t>more</t>
  </si>
  <si>
    <t>Ganesh vijay more</t>
  </si>
  <si>
    <t>20-01-2005 00:00</t>
  </si>
  <si>
    <t>5.00.00 AM</t>
  </si>
  <si>
    <t>₹ 8,000.0000</t>
  </si>
  <si>
    <t>Anjali</t>
  </si>
  <si>
    <t>kamlesh</t>
  </si>
  <si>
    <t>pawar</t>
  </si>
  <si>
    <t>Anjali kamlesh pawar</t>
  </si>
  <si>
    <t>6.00.00 AM</t>
  </si>
  <si>
    <t>₹70</t>
  </si>
  <si>
    <t>Kuashal</t>
  </si>
  <si>
    <t>rahul</t>
  </si>
  <si>
    <t>thamke</t>
  </si>
  <si>
    <t>Kuashal rahul thamke</t>
  </si>
  <si>
    <t>30-05-2006 00:00</t>
  </si>
  <si>
    <t>7.00.00 AM</t>
  </si>
  <si>
    <t>₹ 7,000.0000</t>
  </si>
  <si>
    <t>FIND THE DATE VALUE</t>
  </si>
  <si>
    <t>VALUE 1</t>
  </si>
  <si>
    <t>VALUE 2</t>
  </si>
  <si>
    <t>FIND THE FACRITION</t>
  </si>
  <si>
    <t>Name</t>
  </si>
  <si>
    <t>Class</t>
  </si>
  <si>
    <t>Fees</t>
  </si>
  <si>
    <t>Riya</t>
  </si>
  <si>
    <t>Aman</t>
  </si>
  <si>
    <t>Meena</t>
  </si>
  <si>
    <t>Rahul</t>
  </si>
  <si>
    <t>Sheet  1  - tasks 1</t>
  </si>
  <si>
    <t>Product</t>
  </si>
  <si>
    <t>Category</t>
  </si>
  <si>
    <t>Sales person</t>
  </si>
  <si>
    <t>Region</t>
  </si>
  <si>
    <t>Month</t>
  </si>
  <si>
    <t>Units Sold</t>
  </si>
  <si>
    <t>Unit Price</t>
  </si>
  <si>
    <t>Total Sales</t>
  </si>
  <si>
    <t>Laptop</t>
  </si>
  <si>
    <t>Electronics</t>
  </si>
  <si>
    <t>North</t>
  </si>
  <si>
    <t>Jan</t>
  </si>
  <si>
    <t>Phone</t>
  </si>
  <si>
    <t>South</t>
  </si>
  <si>
    <t>Tablet</t>
  </si>
  <si>
    <t>East</t>
  </si>
  <si>
    <t>Watch</t>
  </si>
  <si>
    <t>Accessories</t>
  </si>
  <si>
    <t>West</t>
  </si>
  <si>
    <t>Feb</t>
  </si>
  <si>
    <t>Headphones</t>
  </si>
  <si>
    <t>Mar</t>
  </si>
  <si>
    <t>Apr</t>
  </si>
  <si>
    <t>May</t>
  </si>
  <si>
    <t>Sheet  2  - tasks 2</t>
  </si>
  <si>
    <t>(All)</t>
  </si>
  <si>
    <t>Column Labels</t>
  </si>
  <si>
    <t>Row Labels</t>
  </si>
  <si>
    <t>Grand Total</t>
  </si>
  <si>
    <t>Sheet  3 - Tasks 3</t>
  </si>
  <si>
    <t>Sum of Total Sales</t>
  </si>
  <si>
    <t>Average of Units Sold</t>
  </si>
  <si>
    <t xml:space="preserve">Assignment -1 </t>
  </si>
  <si>
    <t>Student Name</t>
  </si>
  <si>
    <t>Subject</t>
  </si>
  <si>
    <t>Marks</t>
  </si>
  <si>
    <t>Attendance %</t>
  </si>
  <si>
    <t>Grade</t>
  </si>
  <si>
    <t>Fee Status</t>
  </si>
  <si>
    <t>Rohan</t>
  </si>
  <si>
    <t>Maths</t>
  </si>
  <si>
    <t>A</t>
  </si>
  <si>
    <t>Paid</t>
  </si>
  <si>
    <t>Sneha</t>
  </si>
  <si>
    <t>English</t>
  </si>
  <si>
    <t>C</t>
  </si>
  <si>
    <t>Pending</t>
  </si>
  <si>
    <t>Science</t>
  </si>
  <si>
    <t>B</t>
  </si>
  <si>
    <t>Priya</t>
  </si>
  <si>
    <t>F</t>
  </si>
  <si>
    <t>History</t>
  </si>
  <si>
    <t>A+</t>
  </si>
  <si>
    <t>Yash</t>
  </si>
  <si>
    <t>Meera</t>
  </si>
  <si>
    <t>Aditya</t>
  </si>
  <si>
    <t>Neha</t>
  </si>
  <si>
    <t>Karan</t>
  </si>
  <si>
    <t>Tejas</t>
  </si>
  <si>
    <t>Rutuja</t>
  </si>
  <si>
    <t>D</t>
  </si>
  <si>
    <t>Vivek</t>
  </si>
  <si>
    <t>Sakshi</t>
  </si>
  <si>
    <t>Omkar</t>
  </si>
  <si>
    <t>Vaishnavi</t>
  </si>
  <si>
    <t>Nisha</t>
  </si>
  <si>
    <t>Tushar</t>
  </si>
  <si>
    <t>Harshad</t>
  </si>
  <si>
    <t>Shruti</t>
  </si>
  <si>
    <t>Assignment 2</t>
  </si>
  <si>
    <t>Order ID</t>
  </si>
  <si>
    <t>Salesperson</t>
  </si>
  <si>
    <t>Revenue</t>
  </si>
  <si>
    <t>Target</t>
  </si>
  <si>
    <t>Customer Rating</t>
  </si>
  <si>
    <t>Sum</t>
  </si>
  <si>
    <t>Avrage</t>
  </si>
  <si>
    <t>Count</t>
  </si>
  <si>
    <t>MIN</t>
  </si>
  <si>
    <t>Max</t>
  </si>
  <si>
    <t>IF</t>
  </si>
  <si>
    <t>Nested IF</t>
  </si>
  <si>
    <t>Soap</t>
  </si>
  <si>
    <t>Shampoo</t>
  </si>
  <si>
    <t>Toothpaste</t>
  </si>
  <si>
    <t>Lotion</t>
  </si>
  <si>
    <t>Kiran</t>
  </si>
  <si>
    <t>Varun</t>
  </si>
  <si>
    <t>Task - 1</t>
  </si>
  <si>
    <t>Task - 2</t>
  </si>
  <si>
    <t>Age</t>
  </si>
  <si>
    <t>Column1</t>
  </si>
  <si>
    <t>Ramesh</t>
  </si>
  <si>
    <t>10th</t>
  </si>
  <si>
    <t>₹ 5,000.00</t>
  </si>
  <si>
    <t>Good</t>
  </si>
  <si>
    <t>Sita</t>
  </si>
  <si>
    <t>9th</t>
  </si>
  <si>
    <t>₹ 4,500.00</t>
  </si>
  <si>
    <t>Bad</t>
  </si>
  <si>
    <t>11th</t>
  </si>
  <si>
    <t>₹ 6,000.00</t>
  </si>
  <si>
    <t>₹ 5,200.00</t>
  </si>
  <si>
    <t>Mohan</t>
  </si>
  <si>
    <t>₹ 4,700.00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</si>
</sst>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 h:mm"/>
    <numFmt numFmtId="165" formatCode="mm-dd-yyyy"/>
    <numFmt numFmtId="166" formatCode="m/d"/>
    <numFmt numFmtId="167" formatCode="m-d-yyyy"/>
  </numFmts>
  <fonts count="27">
    <font>
      <sz val="10.0"/>
      <color rgb="FF000000"/>
      <name val="Calibri"/>
      <scheme val="minor"/>
    </font>
    <font>
      <b/>
      <sz val="12.0"/>
      <color rgb="FF000000"/>
      <name val="&quot;Times New Roman&quot;"/>
    </font>
    <font/>
    <font>
      <sz val="11.0"/>
      <color rgb="FF000000"/>
      <name val="&quot;Times New Roman&quot;"/>
    </font>
    <font>
      <sz val="14.0"/>
      <color rgb="FF000000"/>
      <name val="&quot;Times New Roman&quot;"/>
    </font>
    <font>
      <b/>
      <sz val="11.0"/>
      <color rgb="FF000000"/>
      <name val="&quot;Times New Roman&quot;"/>
    </font>
    <font>
      <b/>
      <sz val="14.0"/>
      <color rgb="FF000000"/>
      <name val="Arial"/>
    </font>
    <font>
      <b/>
      <sz val="11.0"/>
      <color rgb="FF000000"/>
      <name val="Arial"/>
    </font>
    <font>
      <sz val="14.0"/>
      <color rgb="FF000000"/>
      <name val="Arial"/>
    </font>
    <font>
      <sz val="11.0"/>
      <color rgb="FF000000"/>
      <name val="Arial"/>
    </font>
    <font>
      <b/>
      <sz val="17.0"/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&quot;Arial Rounded MT Bold&quot;"/>
    </font>
    <font>
      <sz val="9.0"/>
      <color rgb="FF000000"/>
      <name val="&quot;Arial Rounded MT Bold&quot;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26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22.0"/>
      <color theme="1"/>
      <name val="Calibri"/>
    </font>
    <font>
      <b/>
      <sz val="9.0"/>
      <color rgb="FF000000"/>
      <name val="Arial"/>
    </font>
    <font>
      <b/>
      <sz val="13.0"/>
      <color theme="1"/>
      <name val="Calibri"/>
    </font>
    <font>
      <sz val="13.0"/>
      <color theme="1"/>
      <name val="Calibri"/>
      <scheme val="minor"/>
    </font>
    <font>
      <b/>
      <sz val="16.0"/>
      <color rgb="FF000000"/>
      <name val="Calibri"/>
    </font>
    <font>
      <b/>
      <sz val="15.0"/>
      <color rgb="FF455F5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E7E6E6"/>
        <bgColor rgb="FFE7E6E6"/>
      </patternFill>
    </fill>
    <fill>
      <patternFill patternType="solid">
        <fgColor rgb="FF99CB38"/>
        <bgColor rgb="FF99CB38"/>
      </patternFill>
    </fill>
    <fill>
      <patternFill patternType="solid">
        <fgColor rgb="FFEAF4D7"/>
        <bgColor rgb="FFEAF4D7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9BC2E6"/>
      </bottom>
    </border>
    <border>
      <top style="thin">
        <color rgb="FF9BC2E6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99CB38"/>
      </bottom>
    </border>
    <border>
      <top style="thin">
        <color rgb="FF000000"/>
      </top>
      <bottom style="thin">
        <color rgb="FF99CB38"/>
      </bottom>
    </border>
    <border>
      <right style="thin">
        <color rgb="FF000000"/>
      </right>
      <top style="thin">
        <color rgb="FF000000"/>
      </top>
      <bottom style="thin">
        <color rgb="FF99CB38"/>
      </bottom>
    </border>
    <border>
      <right style="thin">
        <color rgb="FF000000"/>
      </right>
      <top style="thin">
        <color rgb="FFC1E087"/>
      </top>
      <bottom style="thin">
        <color rgb="FFC1E087"/>
      </bottom>
    </border>
    <border>
      <bottom style="thin">
        <color rgb="FF000000"/>
      </bottom>
    </border>
    <border>
      <right style="thin">
        <color rgb="FF000000"/>
      </right>
      <top style="thin">
        <color rgb="FFC1E087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4" numFmtId="164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165" xfId="0" applyAlignment="1" applyBorder="1" applyFont="1" applyNumberFormat="1">
      <alignment horizontal="center" readingOrder="0" shrinkToFit="0" vertical="bottom" wrapText="0"/>
    </xf>
    <xf borderId="4" fillId="0" fontId="5" numFmtId="166" xfId="0" applyAlignment="1" applyBorder="1" applyFont="1" applyNumberFormat="1">
      <alignment horizontal="center" readingOrder="0" shrinkToFit="0" vertical="bottom" wrapText="0"/>
    </xf>
    <xf borderId="5" fillId="0" fontId="5" numFmtId="167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4" fillId="3" fontId="11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readingOrder="0"/>
    </xf>
    <xf borderId="4" fillId="0" fontId="12" numFmtId="0" xfId="0" applyAlignment="1" applyBorder="1" applyFont="1">
      <alignment horizontal="right" readingOrder="0"/>
    </xf>
    <xf borderId="4" fillId="0" fontId="13" numFmtId="0" xfId="0" applyAlignment="1" applyBorder="1" applyFont="1">
      <alignment readingOrder="0"/>
    </xf>
    <xf borderId="0" fillId="0" fontId="14" numFmtId="0" xfId="0" applyAlignment="1" applyFont="1">
      <alignment shrinkToFit="0" vertical="bottom" wrapText="0"/>
    </xf>
    <xf borderId="7" fillId="4" fontId="14" numFmtId="0" xfId="0" applyAlignment="1" applyBorder="1" applyFill="1" applyFont="1">
      <alignment readingOrder="0" shrinkToFit="0" vertical="bottom" wrapText="0"/>
    </xf>
    <xf borderId="0" fillId="4" fontId="15" numFmtId="0" xfId="0" applyAlignment="1" applyFont="1">
      <alignment shrinkToFit="0" vertical="bottom" wrapText="0"/>
    </xf>
    <xf borderId="0" fillId="4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7" fillId="0" fontId="15" numFmtId="0" xfId="0" applyAlignment="1" applyBorder="1" applyFont="1">
      <alignment horizontal="left" readingOrder="0" shrinkToFit="0" vertical="bottom" wrapText="0"/>
    </xf>
    <xf borderId="7" fillId="0" fontId="15" numFmtId="0" xfId="0" applyAlignment="1" applyBorder="1" applyFont="1">
      <alignment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shrinkToFit="0" vertical="bottom" wrapText="0"/>
    </xf>
    <xf borderId="8" fillId="4" fontId="15" numFmtId="0" xfId="0" applyAlignment="1" applyBorder="1" applyFont="1">
      <alignment horizontal="left" readingOrder="0" shrinkToFit="0" vertical="bottom" wrapText="0"/>
    </xf>
    <xf borderId="8" fillId="4" fontId="15" numFmtId="0" xfId="0" applyAlignment="1" applyBorder="1" applyFont="1">
      <alignment shrinkToFit="0" vertical="bottom" wrapText="0"/>
    </xf>
    <xf borderId="7" fillId="4" fontId="15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left" shrinkToFit="0" vertical="top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8" fillId="4" fontId="15" numFmtId="0" xfId="0" applyAlignment="1" applyBorder="1" applyFont="1">
      <alignment horizontal="left" readingOrder="0" shrinkToFit="0" vertical="bottom" wrapText="0"/>
    </xf>
    <xf borderId="8" fillId="4" fontId="15" numFmtId="0" xfId="0" applyAlignment="1" applyBorder="1" applyFont="1">
      <alignment horizontal="right" readingOrder="0" shrinkToFit="0" vertical="bottom" wrapText="0"/>
    </xf>
    <xf borderId="9" fillId="5" fontId="17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5" fontId="17" numFmtId="0" xfId="0" applyAlignment="1" applyBorder="1" applyFont="1">
      <alignment horizontal="center"/>
    </xf>
    <xf borderId="13" fillId="0" fontId="18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4" fillId="0" fontId="19" numFmtId="9" xfId="0" applyAlignment="1" applyBorder="1" applyFont="1" applyNumberFormat="1">
      <alignment horizontal="center" vertical="center"/>
    </xf>
    <xf borderId="17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horizontal="center"/>
    </xf>
    <xf borderId="18" fillId="0" fontId="19" numFmtId="0" xfId="0" applyAlignment="1" applyBorder="1" applyFont="1">
      <alignment horizontal="center" vertical="center"/>
    </xf>
    <xf borderId="19" fillId="0" fontId="19" numFmtId="0" xfId="0" applyAlignment="1" applyBorder="1" applyFont="1">
      <alignment horizontal="center" vertical="center"/>
    </xf>
    <xf borderId="19" fillId="0" fontId="19" numFmtId="9" xfId="0" applyAlignment="1" applyBorder="1" applyFont="1" applyNumberFormat="1">
      <alignment horizontal="center" vertical="center"/>
    </xf>
    <xf borderId="20" fillId="0" fontId="19" numFmtId="0" xfId="0" applyAlignment="1" applyBorder="1" applyFont="1">
      <alignment horizontal="center" vertical="center"/>
    </xf>
    <xf borderId="21" fillId="5" fontId="21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0" fillId="0" fontId="20" numFmtId="0" xfId="0" applyFont="1"/>
    <xf borderId="4" fillId="0" fontId="7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24" fillId="6" fontId="23" numFmtId="0" xfId="0" applyBorder="1" applyFill="1" applyFont="1"/>
    <xf borderId="4" fillId="0" fontId="9" numFmtId="0" xfId="0" applyAlignment="1" applyBorder="1" applyFont="1">
      <alignment shrinkToFit="0" vertical="center" wrapText="1"/>
    </xf>
    <xf borderId="0" fillId="0" fontId="24" numFmtId="0" xfId="0" applyFont="1"/>
    <xf borderId="0" fillId="3" fontId="25" numFmtId="0" xfId="0" applyAlignment="1" applyFont="1">
      <alignment horizontal="center" readingOrder="0" shrinkToFit="0" vertical="bottom" wrapText="0"/>
    </xf>
    <xf borderId="25" fillId="7" fontId="26" numFmtId="0" xfId="0" applyAlignment="1" applyBorder="1" applyFill="1" applyFont="1">
      <alignment horizontal="center" readingOrder="0"/>
    </xf>
    <xf borderId="26" fillId="7" fontId="26" numFmtId="0" xfId="0" applyAlignment="1" applyBorder="1" applyFont="1">
      <alignment horizontal="center" readingOrder="0"/>
    </xf>
    <xf borderId="27" fillId="7" fontId="26" numFmtId="0" xfId="0" applyAlignment="1" applyBorder="1" applyFont="1">
      <alignment horizontal="center" readingOrder="0"/>
    </xf>
    <xf borderId="4" fillId="7" fontId="7" numFmtId="0" xfId="0" applyAlignment="1" applyBorder="1" applyFont="1">
      <alignment horizontal="left" readingOrder="0"/>
    </xf>
    <xf borderId="4" fillId="7" fontId="7" numFmtId="0" xfId="0" applyAlignment="1" applyBorder="1" applyFont="1">
      <alignment horizontal="left" readingOrder="0" shrinkToFit="0" wrapText="1"/>
    </xf>
    <xf borderId="4" fillId="8" fontId="9" numFmtId="0" xfId="0" applyAlignment="1" applyBorder="1" applyFill="1" applyFont="1">
      <alignment horizontal="center" readingOrder="0"/>
    </xf>
    <xf borderId="1" fillId="8" fontId="9" numFmtId="0" xfId="0" applyAlignment="1" applyBorder="1" applyFont="1">
      <alignment horizontal="center" readingOrder="0"/>
    </xf>
    <xf borderId="28" fillId="8" fontId="14" numFmtId="0" xfId="0" applyAlignment="1" applyBorder="1" applyFont="1">
      <alignment readingOrder="0" shrinkToFit="0" vertical="bottom" wrapText="0"/>
    </xf>
    <xf borderId="4" fillId="8" fontId="9" numFmtId="0" xfId="0" applyAlignment="1" applyBorder="1" applyFont="1">
      <alignment horizontal="left" readingOrder="0" shrinkToFit="0" wrapText="1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29" fillId="0" fontId="9" numFmtId="0" xfId="0" applyAlignment="1" applyBorder="1" applyFont="1">
      <alignment horizontal="center" readingOrder="0"/>
    </xf>
    <xf borderId="28" fillId="0" fontId="14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horizontal="left" readingOrder="0" shrinkToFit="0" wrapText="1"/>
    </xf>
    <xf borderId="4" fillId="0" fontId="9" numFmtId="0" xfId="0" applyAlignment="1" applyBorder="1" applyFont="1">
      <alignment horizontal="left" readingOrder="0" shrinkToFit="0" wrapText="1"/>
    </xf>
    <xf borderId="30" fillId="8" fontId="1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6100"/>
      </font>
      <fill>
        <patternFill patternType="solid">
          <fgColor rgb="FF00B050"/>
          <bgColor rgb="FF00B050"/>
        </patternFill>
      </fill>
      <border/>
    </dxf>
    <dxf>
      <font>
        <b/>
        <color theme="1"/>
      </font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>
        <color theme="1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</dxfs>
  <tableStyles count="1">
    <tableStyle count="4" pivot="0" name="Day 8 Assignmen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42</xdr:row>
      <xdr:rowOff>0</xdr:rowOff>
    </xdr:from>
    <xdr:ext cx="5829300" cy="3543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3:G38" displayName="Table1" name="Table1" id="1">
  <tableColumns count="7">
    <tableColumn name="Row Labels" id="1"/>
    <tableColumn name="Jan" id="2"/>
    <tableColumn name="Feb" id="3"/>
    <tableColumn name="Mar" id="4"/>
    <tableColumn name="Apr" id="5"/>
    <tableColumn name="May" id="6"/>
    <tableColumn name="Grand Total" id="7"/>
  </tableColumns>
  <tableStyleInfo name="Day 8 Assignmen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14.29"/>
    <col customWidth="1" min="3" max="3" width="11.71"/>
    <col customWidth="1" min="4" max="4" width="32.86"/>
    <col customWidth="1" min="5" max="5" width="14.0"/>
    <col customWidth="1" min="6" max="6" width="20.71"/>
    <col customWidth="1" min="7" max="7" width="15.14"/>
    <col customWidth="1" min="8" max="8" width="21.43"/>
    <col customWidth="1" min="9" max="10" width="24.57"/>
    <col customWidth="1" min="11" max="11" width="22.14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5"/>
    </row>
    <row r="5">
      <c r="A5" s="6" t="s">
        <v>12</v>
      </c>
      <c r="B5" s="6" t="s">
        <v>13</v>
      </c>
      <c r="C5" s="6" t="s">
        <v>14</v>
      </c>
      <c r="D5" s="6" t="s">
        <v>15</v>
      </c>
      <c r="E5" s="6">
        <v>5.24451545E8</v>
      </c>
      <c r="F5" s="7">
        <v>37169.0</v>
      </c>
      <c r="G5" s="6" t="s">
        <v>16</v>
      </c>
      <c r="H5" s="6" t="s">
        <v>17</v>
      </c>
      <c r="I5" s="6">
        <v>292.0</v>
      </c>
      <c r="J5" s="6">
        <v>600.0</v>
      </c>
      <c r="K5" s="6">
        <f t="shared" ref="K5:K12" si="1">I5/J5*100</f>
        <v>48.66666667</v>
      </c>
      <c r="L5" s="5"/>
    </row>
    <row r="6">
      <c r="A6" s="6" t="s">
        <v>18</v>
      </c>
      <c r="B6" s="6" t="s">
        <v>13</v>
      </c>
      <c r="C6" s="6" t="s">
        <v>19</v>
      </c>
      <c r="D6" s="6" t="s">
        <v>20</v>
      </c>
      <c r="E6" s="6">
        <v>5.0162486E7</v>
      </c>
      <c r="F6" s="7">
        <v>40913.0</v>
      </c>
      <c r="G6" s="6" t="s">
        <v>16</v>
      </c>
      <c r="H6" s="6" t="s">
        <v>21</v>
      </c>
      <c r="I6" s="6">
        <v>100.0</v>
      </c>
      <c r="J6" s="6">
        <v>600.0</v>
      </c>
      <c r="K6" s="6">
        <f t="shared" si="1"/>
        <v>16.66666667</v>
      </c>
      <c r="L6" s="5"/>
    </row>
    <row r="7">
      <c r="A7" s="6" t="s">
        <v>22</v>
      </c>
      <c r="B7" s="6" t="s">
        <v>23</v>
      </c>
      <c r="C7" s="6" t="s">
        <v>24</v>
      </c>
      <c r="D7" s="6" t="s">
        <v>25</v>
      </c>
      <c r="E7" s="6">
        <v>4.54012172E8</v>
      </c>
      <c r="F7" s="7">
        <v>43254.0</v>
      </c>
      <c r="G7" s="6" t="s">
        <v>26</v>
      </c>
      <c r="H7" s="6" t="s">
        <v>27</v>
      </c>
      <c r="I7" s="6">
        <v>450.0</v>
      </c>
      <c r="J7" s="6">
        <v>600.0</v>
      </c>
      <c r="K7" s="6">
        <f t="shared" si="1"/>
        <v>75</v>
      </c>
      <c r="L7" s="5"/>
    </row>
    <row r="8">
      <c r="A8" s="6" t="s">
        <v>28</v>
      </c>
      <c r="B8" s="6" t="s">
        <v>23</v>
      </c>
      <c r="C8" s="6" t="s">
        <v>24</v>
      </c>
      <c r="D8" s="6" t="s">
        <v>29</v>
      </c>
      <c r="E8" s="6">
        <v>1.2754141E7</v>
      </c>
      <c r="F8" s="7">
        <v>38842.0</v>
      </c>
      <c r="G8" s="6" t="s">
        <v>30</v>
      </c>
      <c r="H8" s="6" t="s">
        <v>31</v>
      </c>
      <c r="I8" s="6">
        <v>465.0</v>
      </c>
      <c r="J8" s="6">
        <v>600.0</v>
      </c>
      <c r="K8" s="6">
        <f t="shared" si="1"/>
        <v>77.5</v>
      </c>
      <c r="L8" s="5"/>
    </row>
    <row r="9">
      <c r="A9" s="6" t="s">
        <v>32</v>
      </c>
      <c r="B9" s="6" t="s">
        <v>33</v>
      </c>
      <c r="C9" s="6" t="s">
        <v>34</v>
      </c>
      <c r="D9" s="6" t="s">
        <v>35</v>
      </c>
      <c r="E9" s="6">
        <v>4845616.0</v>
      </c>
      <c r="F9" s="6" t="s">
        <v>36</v>
      </c>
      <c r="G9" s="6" t="s">
        <v>37</v>
      </c>
      <c r="H9" s="6" t="s">
        <v>38</v>
      </c>
      <c r="I9" s="6">
        <v>350.0</v>
      </c>
      <c r="J9" s="6">
        <v>600.0</v>
      </c>
      <c r="K9" s="6">
        <f t="shared" si="1"/>
        <v>58.33333333</v>
      </c>
      <c r="L9" s="5"/>
    </row>
    <row r="10">
      <c r="A10" s="6" t="s">
        <v>39</v>
      </c>
      <c r="B10" s="6" t="s">
        <v>40</v>
      </c>
      <c r="C10" s="6" t="s">
        <v>41</v>
      </c>
      <c r="D10" s="6" t="s">
        <v>42</v>
      </c>
      <c r="E10" s="6">
        <v>1.23564887E8</v>
      </c>
      <c r="F10" s="6" t="s">
        <v>43</v>
      </c>
      <c r="G10" s="6" t="s">
        <v>44</v>
      </c>
      <c r="H10" s="6" t="s">
        <v>45</v>
      </c>
      <c r="I10" s="6">
        <v>365.0</v>
      </c>
      <c r="J10" s="6">
        <v>600.0</v>
      </c>
      <c r="K10" s="6">
        <f t="shared" si="1"/>
        <v>60.83333333</v>
      </c>
      <c r="L10" s="5"/>
    </row>
    <row r="11">
      <c r="A11" s="6" t="s">
        <v>46</v>
      </c>
      <c r="B11" s="6" t="s">
        <v>47</v>
      </c>
      <c r="C11" s="6" t="s">
        <v>48</v>
      </c>
      <c r="D11" s="6" t="s">
        <v>49</v>
      </c>
      <c r="E11" s="6">
        <v>1.21510548E8</v>
      </c>
      <c r="F11" s="7">
        <v>37959.0</v>
      </c>
      <c r="G11" s="6" t="s">
        <v>50</v>
      </c>
      <c r="H11" s="6" t="s">
        <v>51</v>
      </c>
      <c r="I11" s="6">
        <v>245.0</v>
      </c>
      <c r="J11" s="6">
        <v>600.0</v>
      </c>
      <c r="K11" s="6">
        <f t="shared" si="1"/>
        <v>40.83333333</v>
      </c>
      <c r="L11" s="5"/>
    </row>
    <row r="12">
      <c r="A12" s="6" t="s">
        <v>52</v>
      </c>
      <c r="B12" s="6" t="s">
        <v>53</v>
      </c>
      <c r="C12" s="6" t="s">
        <v>54</v>
      </c>
      <c r="D12" s="6" t="s">
        <v>55</v>
      </c>
      <c r="E12" s="6">
        <v>5.400877401E9</v>
      </c>
      <c r="F12" s="6" t="s">
        <v>56</v>
      </c>
      <c r="G12" s="6" t="s">
        <v>57</v>
      </c>
      <c r="H12" s="6" t="s">
        <v>58</v>
      </c>
      <c r="I12" s="6">
        <v>431.0</v>
      </c>
      <c r="J12" s="6">
        <v>600.0</v>
      </c>
      <c r="K12" s="6">
        <f t="shared" si="1"/>
        <v>71.83333333</v>
      </c>
      <c r="L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5"/>
      <c r="B17" s="5"/>
      <c r="C17" s="8"/>
      <c r="D17" s="9"/>
      <c r="E17" s="5"/>
      <c r="F17" s="5"/>
      <c r="G17" s="5"/>
      <c r="H17" s="5"/>
      <c r="I17" s="5"/>
      <c r="J17" s="5"/>
      <c r="K17" s="5"/>
      <c r="L17" s="5"/>
    </row>
    <row r="18">
      <c r="A18" s="5"/>
      <c r="B18" s="5"/>
      <c r="C18" s="10"/>
      <c r="D18" s="11" t="s">
        <v>59</v>
      </c>
      <c r="E18" s="5"/>
      <c r="F18" s="5"/>
      <c r="G18" s="12" t="s">
        <v>60</v>
      </c>
      <c r="H18" s="12" t="s">
        <v>61</v>
      </c>
      <c r="I18" s="12" t="s">
        <v>62</v>
      </c>
      <c r="J18" s="5"/>
      <c r="K18" s="5"/>
      <c r="L18" s="5"/>
    </row>
    <row r="19">
      <c r="A19" s="5"/>
      <c r="B19" s="5"/>
      <c r="C19" s="13">
        <v>2.0</v>
      </c>
      <c r="D19" s="11">
        <v>1.0</v>
      </c>
      <c r="E19" s="5"/>
      <c r="F19" s="5"/>
      <c r="G19" s="12">
        <v>30.0</v>
      </c>
      <c r="H19" s="12">
        <v>100.0</v>
      </c>
      <c r="I19" s="14">
        <v>45695.0</v>
      </c>
      <c r="J19" s="5"/>
      <c r="K19" s="5"/>
      <c r="L19" s="5"/>
    </row>
    <row r="20">
      <c r="A20" s="5"/>
      <c r="B20" s="5"/>
      <c r="C20" s="15">
        <v>45971.0</v>
      </c>
      <c r="D20" s="11">
        <v>45941.0</v>
      </c>
      <c r="E20" s="5"/>
      <c r="F20" s="5"/>
      <c r="G20" s="12">
        <v>25.0</v>
      </c>
      <c r="H20" s="12">
        <v>50.0</v>
      </c>
      <c r="I20" s="14">
        <v>45659.0</v>
      </c>
      <c r="J20" s="5"/>
      <c r="K20" s="5"/>
      <c r="L20" s="5"/>
    </row>
    <row r="21">
      <c r="A21" s="5"/>
      <c r="B21" s="5"/>
      <c r="C21" s="16"/>
      <c r="D21" s="17"/>
      <c r="E21" s="5"/>
      <c r="F21" s="5"/>
      <c r="G21" s="5"/>
      <c r="H21" s="5"/>
      <c r="I21" s="5"/>
      <c r="J21" s="5"/>
      <c r="K21" s="5"/>
      <c r="L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</sheetData>
  <mergeCells count="1">
    <mergeCell ref="A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8" t="s">
        <v>63</v>
      </c>
      <c r="B1" s="19" t="s">
        <v>64</v>
      </c>
      <c r="C1" s="20"/>
      <c r="D1" s="19" t="s">
        <v>65</v>
      </c>
    </row>
    <row r="2">
      <c r="A2" s="21" t="s">
        <v>66</v>
      </c>
      <c r="B2" s="22">
        <v>10.0</v>
      </c>
      <c r="C2" s="23"/>
      <c r="D2" s="22">
        <v>2500.0</v>
      </c>
    </row>
    <row r="3">
      <c r="A3" s="21" t="s">
        <v>67</v>
      </c>
      <c r="B3" s="22">
        <v>9.0</v>
      </c>
      <c r="C3" s="23"/>
      <c r="D3" s="22">
        <v>2300.0</v>
      </c>
    </row>
    <row r="4">
      <c r="A4" s="21" t="s">
        <v>68</v>
      </c>
      <c r="B4" s="22">
        <v>11.0</v>
      </c>
      <c r="C4" s="23"/>
      <c r="D4" s="22">
        <v>2700.0</v>
      </c>
    </row>
    <row r="5">
      <c r="A5" s="21" t="s">
        <v>69</v>
      </c>
      <c r="B5" s="22">
        <v>10.0</v>
      </c>
      <c r="C5" s="23"/>
      <c r="D5" s="22">
        <v>2500.0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  <col customWidth="1" min="2" max="2" width="17.0"/>
    <col customWidth="1" min="3" max="3" width="24.57"/>
    <col customWidth="1" min="7" max="7" width="16.43"/>
  </cols>
  <sheetData>
    <row r="2">
      <c r="C2" s="24" t="s">
        <v>70</v>
      </c>
    </row>
    <row r="4">
      <c r="A4" s="25" t="s">
        <v>71</v>
      </c>
      <c r="B4" s="25" t="s">
        <v>72</v>
      </c>
      <c r="C4" s="25" t="s">
        <v>73</v>
      </c>
      <c r="D4" s="25" t="s">
        <v>74</v>
      </c>
      <c r="E4" s="25" t="s">
        <v>75</v>
      </c>
      <c r="F4" s="25" t="s">
        <v>76</v>
      </c>
      <c r="G4" s="25" t="s">
        <v>77</v>
      </c>
      <c r="H4" s="25" t="s">
        <v>78</v>
      </c>
    </row>
    <row r="5">
      <c r="A5" s="26" t="s">
        <v>79</v>
      </c>
      <c r="B5" s="26" t="s">
        <v>80</v>
      </c>
      <c r="C5" s="26" t="s">
        <v>66</v>
      </c>
      <c r="D5" s="26" t="s">
        <v>81</v>
      </c>
      <c r="E5" s="26" t="s">
        <v>82</v>
      </c>
      <c r="F5" s="27">
        <v>10.0</v>
      </c>
      <c r="G5" s="27">
        <v>50000.0</v>
      </c>
      <c r="H5" s="27">
        <v>500000.0</v>
      </c>
    </row>
    <row r="6">
      <c r="A6" s="26" t="s">
        <v>83</v>
      </c>
      <c r="B6" s="26" t="s">
        <v>80</v>
      </c>
      <c r="C6" s="26" t="s">
        <v>67</v>
      </c>
      <c r="D6" s="26" t="s">
        <v>84</v>
      </c>
      <c r="E6" s="26" t="s">
        <v>82</v>
      </c>
      <c r="F6" s="27">
        <v>15.0</v>
      </c>
      <c r="G6" s="27">
        <v>30000.0</v>
      </c>
      <c r="H6" s="27">
        <v>450000.0</v>
      </c>
    </row>
    <row r="7">
      <c r="A7" s="26" t="s">
        <v>85</v>
      </c>
      <c r="B7" s="26" t="s">
        <v>80</v>
      </c>
      <c r="C7" s="26" t="s">
        <v>68</v>
      </c>
      <c r="D7" s="26" t="s">
        <v>86</v>
      </c>
      <c r="E7" s="26" t="s">
        <v>82</v>
      </c>
      <c r="F7" s="27">
        <v>8.0</v>
      </c>
      <c r="G7" s="27">
        <v>20000.0</v>
      </c>
      <c r="H7" s="27">
        <v>160000.0</v>
      </c>
    </row>
    <row r="8">
      <c r="A8" s="26" t="s">
        <v>87</v>
      </c>
      <c r="B8" s="26" t="s">
        <v>88</v>
      </c>
      <c r="C8" s="26" t="s">
        <v>69</v>
      </c>
      <c r="D8" s="26" t="s">
        <v>89</v>
      </c>
      <c r="E8" s="26" t="s">
        <v>90</v>
      </c>
      <c r="F8" s="27">
        <v>12.0</v>
      </c>
      <c r="G8" s="27">
        <v>15000.0</v>
      </c>
      <c r="H8" s="27">
        <v>180000.0</v>
      </c>
    </row>
    <row r="9">
      <c r="A9" s="26" t="s">
        <v>91</v>
      </c>
      <c r="B9" s="26" t="s">
        <v>88</v>
      </c>
      <c r="C9" s="26" t="s">
        <v>66</v>
      </c>
      <c r="D9" s="26" t="s">
        <v>81</v>
      </c>
      <c r="E9" s="26" t="s">
        <v>90</v>
      </c>
      <c r="F9" s="27">
        <v>20.0</v>
      </c>
      <c r="G9" s="27">
        <v>5000.0</v>
      </c>
      <c r="H9" s="27">
        <v>100000.0</v>
      </c>
    </row>
    <row r="10">
      <c r="A10" s="26" t="s">
        <v>79</v>
      </c>
      <c r="B10" s="26" t="s">
        <v>80</v>
      </c>
      <c r="C10" s="26" t="s">
        <v>67</v>
      </c>
      <c r="D10" s="26" t="s">
        <v>86</v>
      </c>
      <c r="E10" s="26" t="s">
        <v>92</v>
      </c>
      <c r="F10" s="27">
        <v>6.0</v>
      </c>
      <c r="G10" s="27">
        <v>50000.0</v>
      </c>
      <c r="H10" s="27">
        <v>300000.0</v>
      </c>
    </row>
    <row r="11">
      <c r="A11" s="26" t="s">
        <v>83</v>
      </c>
      <c r="B11" s="26" t="s">
        <v>80</v>
      </c>
      <c r="C11" s="26" t="s">
        <v>68</v>
      </c>
      <c r="D11" s="26" t="s">
        <v>84</v>
      </c>
      <c r="E11" s="26" t="s">
        <v>92</v>
      </c>
      <c r="F11" s="27">
        <v>9.0</v>
      </c>
      <c r="G11" s="27">
        <v>30000.0</v>
      </c>
      <c r="H11" s="27">
        <v>270000.0</v>
      </c>
    </row>
    <row r="12">
      <c r="A12" s="26" t="s">
        <v>85</v>
      </c>
      <c r="B12" s="26" t="s">
        <v>80</v>
      </c>
      <c r="C12" s="26" t="s">
        <v>69</v>
      </c>
      <c r="D12" s="26" t="s">
        <v>81</v>
      </c>
      <c r="E12" s="26" t="s">
        <v>93</v>
      </c>
      <c r="F12" s="27">
        <v>5.0</v>
      </c>
      <c r="G12" s="27">
        <v>20000.0</v>
      </c>
      <c r="H12" s="27">
        <v>100000.0</v>
      </c>
    </row>
    <row r="13">
      <c r="A13" s="26" t="s">
        <v>87</v>
      </c>
      <c r="B13" s="26" t="s">
        <v>88</v>
      </c>
      <c r="C13" s="26" t="s">
        <v>66</v>
      </c>
      <c r="D13" s="26" t="s">
        <v>89</v>
      </c>
      <c r="E13" s="26" t="s">
        <v>93</v>
      </c>
      <c r="F13" s="27">
        <v>15.0</v>
      </c>
      <c r="G13" s="27">
        <v>15000.0</v>
      </c>
      <c r="H13" s="27">
        <v>225000.0</v>
      </c>
    </row>
    <row r="14">
      <c r="A14" s="28" t="s">
        <v>91</v>
      </c>
      <c r="B14" s="26" t="s">
        <v>88</v>
      </c>
      <c r="C14" s="26" t="s">
        <v>67</v>
      </c>
      <c r="D14" s="26" t="s">
        <v>86</v>
      </c>
      <c r="E14" s="26" t="s">
        <v>94</v>
      </c>
      <c r="F14" s="27">
        <v>25.0</v>
      </c>
      <c r="G14" s="27">
        <v>5000.0</v>
      </c>
      <c r="H14" s="27">
        <v>125000.0</v>
      </c>
    </row>
    <row r="16">
      <c r="C16" s="24" t="s">
        <v>95</v>
      </c>
    </row>
    <row r="18">
      <c r="A18" s="29"/>
      <c r="B18" s="29"/>
      <c r="C18" s="29"/>
      <c r="D18" s="29"/>
      <c r="E18" s="29"/>
      <c r="F18" s="29"/>
      <c r="G18" s="29"/>
    </row>
    <row r="19">
      <c r="A19" s="30" t="s">
        <v>74</v>
      </c>
      <c r="B19" s="30" t="s">
        <v>96</v>
      </c>
      <c r="C19" s="29"/>
      <c r="D19" s="29"/>
      <c r="E19" s="29"/>
      <c r="F19" s="29"/>
      <c r="G19" s="29"/>
    </row>
    <row r="20">
      <c r="A20" s="29"/>
      <c r="B20" s="29"/>
      <c r="C20" s="29"/>
      <c r="D20" s="29"/>
      <c r="E20" s="29"/>
      <c r="F20" s="29"/>
      <c r="G20" s="29"/>
    </row>
    <row r="21">
      <c r="A21" s="31"/>
      <c r="B21" s="32" t="s">
        <v>97</v>
      </c>
      <c r="C21" s="31"/>
      <c r="D21" s="31"/>
      <c r="E21" s="31"/>
      <c r="F21" s="31"/>
      <c r="G21" s="31"/>
    </row>
    <row r="22">
      <c r="A22" s="33"/>
      <c r="B22" s="33"/>
      <c r="C22" s="33"/>
      <c r="D22" s="33"/>
      <c r="E22" s="33"/>
      <c r="F22" s="33"/>
      <c r="G22" s="33"/>
    </row>
    <row r="23" ht="22.5" customHeight="1">
      <c r="A23" s="34" t="s">
        <v>98</v>
      </c>
      <c r="B23" s="34" t="s">
        <v>82</v>
      </c>
      <c r="C23" s="34" t="s">
        <v>90</v>
      </c>
      <c r="D23" s="34" t="s">
        <v>92</v>
      </c>
      <c r="E23" s="34" t="s">
        <v>93</v>
      </c>
      <c r="F23" s="34" t="s">
        <v>94</v>
      </c>
      <c r="G23" s="34" t="s">
        <v>99</v>
      </c>
    </row>
    <row r="24" ht="22.5" customHeight="1">
      <c r="A24" s="35" t="s">
        <v>67</v>
      </c>
      <c r="B24" s="36"/>
      <c r="C24" s="36"/>
      <c r="D24" s="36"/>
      <c r="E24" s="36"/>
      <c r="F24" s="36"/>
      <c r="G24" s="36"/>
    </row>
    <row r="25" ht="22.5" customHeight="1">
      <c r="A25" s="37" t="s">
        <v>91</v>
      </c>
      <c r="B25" s="38"/>
      <c r="C25" s="38"/>
      <c r="D25" s="38"/>
      <c r="E25" s="38"/>
      <c r="F25" s="38"/>
      <c r="G25" s="38"/>
    </row>
    <row r="26" ht="22.5" customHeight="1">
      <c r="A26" s="37" t="s">
        <v>79</v>
      </c>
      <c r="B26" s="38"/>
      <c r="C26" s="38"/>
      <c r="D26" s="38"/>
      <c r="E26" s="38"/>
      <c r="F26" s="38"/>
      <c r="G26" s="38"/>
    </row>
    <row r="27" ht="22.5" customHeight="1">
      <c r="A27" s="37" t="s">
        <v>83</v>
      </c>
      <c r="B27" s="38"/>
      <c r="C27" s="38"/>
      <c r="D27" s="38"/>
      <c r="E27" s="38"/>
      <c r="F27" s="38"/>
      <c r="G27" s="38"/>
    </row>
    <row r="28" ht="22.5" customHeight="1">
      <c r="A28" s="35" t="s">
        <v>68</v>
      </c>
      <c r="B28" s="36"/>
      <c r="C28" s="36"/>
      <c r="D28" s="36"/>
      <c r="E28" s="36"/>
      <c r="F28" s="36"/>
      <c r="G28" s="36"/>
    </row>
    <row r="29" ht="22.5" customHeight="1">
      <c r="A29" s="37" t="s">
        <v>83</v>
      </c>
      <c r="B29" s="38"/>
      <c r="C29" s="38"/>
      <c r="D29" s="38"/>
      <c r="E29" s="38"/>
      <c r="F29" s="38"/>
      <c r="G29" s="38"/>
    </row>
    <row r="30" ht="22.5" customHeight="1">
      <c r="A30" s="37" t="s">
        <v>85</v>
      </c>
      <c r="B30" s="38"/>
      <c r="C30" s="38"/>
      <c r="D30" s="38"/>
      <c r="E30" s="38"/>
      <c r="F30" s="38"/>
      <c r="G30" s="38"/>
    </row>
    <row r="31" ht="22.5" customHeight="1">
      <c r="A31" s="35" t="s">
        <v>69</v>
      </c>
      <c r="B31" s="36"/>
      <c r="C31" s="36"/>
      <c r="D31" s="36"/>
      <c r="E31" s="36"/>
      <c r="F31" s="36"/>
      <c r="G31" s="36"/>
    </row>
    <row r="32" ht="22.5" customHeight="1">
      <c r="A32" s="37" t="s">
        <v>85</v>
      </c>
      <c r="B32" s="38"/>
      <c r="C32" s="38"/>
      <c r="D32" s="38"/>
      <c r="E32" s="38"/>
      <c r="F32" s="38"/>
      <c r="G32" s="38"/>
    </row>
    <row r="33" ht="22.5" customHeight="1">
      <c r="A33" s="37" t="s">
        <v>87</v>
      </c>
      <c r="B33" s="38"/>
      <c r="C33" s="38"/>
      <c r="D33" s="38"/>
      <c r="E33" s="38"/>
      <c r="F33" s="38"/>
      <c r="G33" s="38"/>
    </row>
    <row r="34" ht="22.5" customHeight="1">
      <c r="A34" s="35" t="s">
        <v>66</v>
      </c>
      <c r="B34" s="36"/>
      <c r="C34" s="36"/>
      <c r="D34" s="36"/>
      <c r="E34" s="36"/>
      <c r="F34" s="36"/>
      <c r="G34" s="36"/>
    </row>
    <row r="35" ht="22.5" customHeight="1">
      <c r="A35" s="37" t="s">
        <v>91</v>
      </c>
      <c r="B35" s="38"/>
      <c r="C35" s="38"/>
      <c r="D35" s="38"/>
      <c r="E35" s="38"/>
      <c r="F35" s="38"/>
      <c r="G35" s="38"/>
    </row>
    <row r="36" ht="22.5" customHeight="1">
      <c r="A36" s="37" t="s">
        <v>79</v>
      </c>
      <c r="B36" s="38"/>
      <c r="C36" s="38"/>
      <c r="D36" s="38"/>
      <c r="E36" s="38"/>
      <c r="F36" s="38"/>
      <c r="G36" s="38"/>
    </row>
    <row r="37" ht="22.5" customHeight="1">
      <c r="A37" s="37" t="s">
        <v>87</v>
      </c>
      <c r="B37" s="38"/>
      <c r="C37" s="38"/>
      <c r="D37" s="38"/>
      <c r="E37" s="38"/>
      <c r="F37" s="38"/>
      <c r="G37" s="38"/>
    </row>
    <row r="38" ht="22.5" customHeight="1">
      <c r="A38" s="39" t="s">
        <v>99</v>
      </c>
      <c r="B38" s="40"/>
      <c r="C38" s="40"/>
      <c r="D38" s="40"/>
      <c r="E38" s="40"/>
      <c r="F38" s="40"/>
      <c r="G38" s="40"/>
    </row>
    <row r="41">
      <c r="C41" s="24" t="s">
        <v>100</v>
      </c>
    </row>
    <row r="43">
      <c r="A43" s="41" t="s">
        <v>98</v>
      </c>
      <c r="B43" s="41" t="s">
        <v>101</v>
      </c>
      <c r="C43" s="41" t="s">
        <v>102</v>
      </c>
      <c r="D43" s="29"/>
      <c r="E43" s="42"/>
      <c r="F43" s="29"/>
      <c r="G43" s="29"/>
      <c r="H43" s="29"/>
      <c r="I43" s="29"/>
      <c r="J43" s="29"/>
      <c r="K43" s="29"/>
      <c r="L43" s="29"/>
      <c r="M43" s="29"/>
    </row>
    <row r="44">
      <c r="A44" s="43" t="s">
        <v>66</v>
      </c>
      <c r="B44" s="44">
        <v>825000.0</v>
      </c>
      <c r="C44" s="44">
        <v>15.0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>
      <c r="A45" s="43" t="s">
        <v>69</v>
      </c>
      <c r="B45" s="44">
        <v>280000.0</v>
      </c>
      <c r="C45" s="44">
        <v>8.5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>
      <c r="A46" s="43" t="s">
        <v>68</v>
      </c>
      <c r="B46" s="44">
        <v>430000.0</v>
      </c>
      <c r="C46" s="44">
        <v>8.5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>
      <c r="A47" s="43" t="s">
        <v>67</v>
      </c>
      <c r="B47" s="44">
        <v>875000.0</v>
      </c>
      <c r="C47" s="44">
        <v>15.33333333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48">
      <c r="A48" s="45" t="s">
        <v>99</v>
      </c>
      <c r="B48" s="46">
        <v>2410000.0</v>
      </c>
      <c r="C48" s="46">
        <v>12.5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0.0"/>
    <col customWidth="1" min="2" max="2" width="11.86"/>
    <col customWidth="1" min="3" max="3" width="11.29"/>
    <col customWidth="1" min="4" max="4" width="18.86"/>
    <col customWidth="1" min="5" max="5" width="16.0"/>
    <col customWidth="1" min="6" max="6" width="17.57"/>
    <col customWidth="1" min="7" max="9" width="8.86"/>
    <col customWidth="1" min="10" max="26" width="8.71"/>
  </cols>
  <sheetData>
    <row r="1" ht="48.0" customHeight="1"/>
    <row r="2" ht="14.25" customHeight="1">
      <c r="A2" s="47" t="s">
        <v>103</v>
      </c>
      <c r="B2" s="48"/>
      <c r="C2" s="48"/>
      <c r="D2" s="48"/>
      <c r="E2" s="49"/>
      <c r="F2" s="50"/>
    </row>
    <row r="3" ht="14.25" customHeight="1">
      <c r="A3" s="51" t="s">
        <v>104</v>
      </c>
      <c r="B3" s="52" t="s">
        <v>105</v>
      </c>
      <c r="C3" s="52" t="s">
        <v>106</v>
      </c>
      <c r="D3" s="52" t="s">
        <v>107</v>
      </c>
      <c r="E3" s="52" t="s">
        <v>108</v>
      </c>
      <c r="F3" s="53" t="s">
        <v>109</v>
      </c>
    </row>
    <row r="4" ht="14.25" customHeight="1">
      <c r="A4" s="54" t="s">
        <v>110</v>
      </c>
      <c r="B4" s="55" t="s">
        <v>111</v>
      </c>
      <c r="C4" s="55">
        <v>85.0</v>
      </c>
      <c r="D4" s="56">
        <v>0.92</v>
      </c>
      <c r="E4" s="55" t="s">
        <v>112</v>
      </c>
      <c r="F4" s="57" t="s">
        <v>113</v>
      </c>
      <c r="I4" s="58"/>
    </row>
    <row r="5" ht="14.25" customHeight="1">
      <c r="A5" s="54" t="s">
        <v>114</v>
      </c>
      <c r="B5" s="55" t="s">
        <v>115</v>
      </c>
      <c r="C5" s="55">
        <v>40.0</v>
      </c>
      <c r="D5" s="56">
        <v>0.65</v>
      </c>
      <c r="E5" s="55" t="s">
        <v>116</v>
      </c>
      <c r="F5" s="57" t="s">
        <v>117</v>
      </c>
    </row>
    <row r="6" ht="14.25" customHeight="1">
      <c r="A6" s="54" t="s">
        <v>12</v>
      </c>
      <c r="B6" s="55" t="s">
        <v>118</v>
      </c>
      <c r="C6" s="55">
        <v>72.0</v>
      </c>
      <c r="D6" s="56">
        <v>0.88</v>
      </c>
      <c r="E6" s="55" t="s">
        <v>119</v>
      </c>
      <c r="F6" s="57" t="s">
        <v>113</v>
      </c>
    </row>
    <row r="7" ht="14.25" customHeight="1">
      <c r="A7" s="54" t="s">
        <v>120</v>
      </c>
      <c r="B7" s="55" t="s">
        <v>111</v>
      </c>
      <c r="C7" s="55">
        <v>30.0</v>
      </c>
      <c r="D7" s="56">
        <v>0.55</v>
      </c>
      <c r="E7" s="55" t="s">
        <v>121</v>
      </c>
      <c r="F7" s="57" t="s">
        <v>117</v>
      </c>
    </row>
    <row r="8" ht="14.25" customHeight="1">
      <c r="A8" s="54" t="s">
        <v>46</v>
      </c>
      <c r="B8" s="55" t="s">
        <v>122</v>
      </c>
      <c r="C8" s="55">
        <v>95.0</v>
      </c>
      <c r="D8" s="56">
        <v>0.98</v>
      </c>
      <c r="E8" s="55" t="s">
        <v>123</v>
      </c>
      <c r="F8" s="57" t="s">
        <v>113</v>
      </c>
    </row>
    <row r="9" ht="14.25" customHeight="1">
      <c r="A9" s="54" t="s">
        <v>124</v>
      </c>
      <c r="B9" s="55" t="s">
        <v>118</v>
      </c>
      <c r="C9" s="55">
        <v>55.0</v>
      </c>
      <c r="D9" s="56">
        <v>0.75</v>
      </c>
      <c r="E9" s="55" t="s">
        <v>116</v>
      </c>
      <c r="F9" s="57" t="s">
        <v>117</v>
      </c>
    </row>
    <row r="10" ht="14.25" customHeight="1">
      <c r="A10" s="54" t="s">
        <v>125</v>
      </c>
      <c r="B10" s="55" t="s">
        <v>111</v>
      </c>
      <c r="C10" s="55">
        <v>88.0</v>
      </c>
      <c r="D10" s="56">
        <v>0.93</v>
      </c>
      <c r="E10" s="55" t="s">
        <v>112</v>
      </c>
      <c r="F10" s="57" t="s">
        <v>113</v>
      </c>
    </row>
    <row r="11" ht="14.25" customHeight="1">
      <c r="A11" s="54" t="s">
        <v>126</v>
      </c>
      <c r="B11" s="55" t="s">
        <v>115</v>
      </c>
      <c r="C11" s="55">
        <v>60.0</v>
      </c>
      <c r="D11" s="56">
        <v>0.82</v>
      </c>
      <c r="E11" s="55" t="s">
        <v>119</v>
      </c>
      <c r="F11" s="57" t="s">
        <v>113</v>
      </c>
    </row>
    <row r="12" ht="14.25" customHeight="1">
      <c r="A12" s="54" t="s">
        <v>127</v>
      </c>
      <c r="B12" s="55" t="s">
        <v>122</v>
      </c>
      <c r="C12" s="55">
        <v>78.0</v>
      </c>
      <c r="D12" s="56">
        <v>0.9</v>
      </c>
      <c r="E12" s="55" t="s">
        <v>112</v>
      </c>
      <c r="F12" s="57" t="s">
        <v>117</v>
      </c>
    </row>
    <row r="13" ht="14.25" customHeight="1">
      <c r="A13" s="54" t="s">
        <v>128</v>
      </c>
      <c r="B13" s="55" t="s">
        <v>118</v>
      </c>
      <c r="C13" s="55">
        <v>45.0</v>
      </c>
      <c r="D13" s="56">
        <v>0.68</v>
      </c>
      <c r="E13" s="55" t="s">
        <v>116</v>
      </c>
      <c r="F13" s="57" t="s">
        <v>113</v>
      </c>
    </row>
    <row r="14" ht="14.25" customHeight="1">
      <c r="A14" s="54" t="s">
        <v>129</v>
      </c>
      <c r="B14" s="55" t="s">
        <v>111</v>
      </c>
      <c r="C14" s="55">
        <v>67.0</v>
      </c>
      <c r="D14" s="56">
        <v>0.85</v>
      </c>
      <c r="E14" s="55" t="s">
        <v>119</v>
      </c>
      <c r="F14" s="57" t="s">
        <v>113</v>
      </c>
    </row>
    <row r="15" ht="14.25" customHeight="1">
      <c r="A15" s="54" t="s">
        <v>130</v>
      </c>
      <c r="B15" s="55" t="s">
        <v>115</v>
      </c>
      <c r="C15" s="55">
        <v>35.0</v>
      </c>
      <c r="D15" s="56">
        <v>0.62</v>
      </c>
      <c r="E15" s="55" t="s">
        <v>131</v>
      </c>
      <c r="F15" s="57" t="s">
        <v>117</v>
      </c>
    </row>
    <row r="16" ht="14.25" customHeight="1">
      <c r="A16" s="54" t="s">
        <v>132</v>
      </c>
      <c r="B16" s="55" t="s">
        <v>122</v>
      </c>
      <c r="C16" s="55">
        <v>90.0</v>
      </c>
      <c r="D16" s="56">
        <v>0.95</v>
      </c>
      <c r="E16" s="55" t="s">
        <v>123</v>
      </c>
      <c r="F16" s="57" t="s">
        <v>113</v>
      </c>
    </row>
    <row r="17" ht="14.25" customHeight="1">
      <c r="A17" s="54" t="s">
        <v>133</v>
      </c>
      <c r="B17" s="55" t="s">
        <v>118</v>
      </c>
      <c r="C17" s="55">
        <v>80.0</v>
      </c>
      <c r="D17" s="56">
        <v>0.87</v>
      </c>
      <c r="E17" s="55" t="s">
        <v>112</v>
      </c>
      <c r="F17" s="57" t="s">
        <v>113</v>
      </c>
    </row>
    <row r="18" ht="14.25" customHeight="1">
      <c r="A18" s="54" t="s">
        <v>134</v>
      </c>
      <c r="B18" s="55" t="s">
        <v>111</v>
      </c>
      <c r="C18" s="55">
        <v>50.0</v>
      </c>
      <c r="D18" s="56">
        <v>0.7</v>
      </c>
      <c r="E18" s="55" t="s">
        <v>116</v>
      </c>
      <c r="F18" s="57" t="s">
        <v>117</v>
      </c>
    </row>
    <row r="19" ht="14.25" customHeight="1">
      <c r="A19" s="54" t="s">
        <v>135</v>
      </c>
      <c r="B19" s="55" t="s">
        <v>115</v>
      </c>
      <c r="C19" s="55">
        <v>45.0</v>
      </c>
      <c r="D19" s="56">
        <v>0.6</v>
      </c>
      <c r="E19" s="55" t="s">
        <v>131</v>
      </c>
      <c r="F19" s="57" t="s">
        <v>117</v>
      </c>
    </row>
    <row r="20" ht="14.25" customHeight="1">
      <c r="A20" s="54" t="s">
        <v>136</v>
      </c>
      <c r="B20" s="55" t="s">
        <v>122</v>
      </c>
      <c r="C20" s="55">
        <v>70.0</v>
      </c>
      <c r="D20" s="56">
        <v>0.8</v>
      </c>
      <c r="E20" s="55" t="s">
        <v>119</v>
      </c>
      <c r="F20" s="57" t="s">
        <v>113</v>
      </c>
    </row>
    <row r="21" ht="14.25" customHeight="1">
      <c r="A21" s="54" t="s">
        <v>137</v>
      </c>
      <c r="B21" s="55" t="s">
        <v>118</v>
      </c>
      <c r="C21" s="55">
        <v>38.0</v>
      </c>
      <c r="D21" s="56">
        <v>0.58</v>
      </c>
      <c r="E21" s="55" t="s">
        <v>121</v>
      </c>
      <c r="F21" s="57" t="s">
        <v>117</v>
      </c>
    </row>
    <row r="22" ht="14.25" customHeight="1">
      <c r="A22" s="54" t="s">
        <v>138</v>
      </c>
      <c r="B22" s="55" t="s">
        <v>111</v>
      </c>
      <c r="C22" s="55">
        <v>92.0</v>
      </c>
      <c r="D22" s="56">
        <v>0.97</v>
      </c>
      <c r="E22" s="55" t="s">
        <v>123</v>
      </c>
      <c r="F22" s="57" t="s">
        <v>113</v>
      </c>
    </row>
    <row r="23" ht="14.25" customHeight="1">
      <c r="A23" s="59" t="s">
        <v>139</v>
      </c>
      <c r="B23" s="60" t="s">
        <v>115</v>
      </c>
      <c r="C23" s="60">
        <v>48.0</v>
      </c>
      <c r="D23" s="61">
        <v>0.66</v>
      </c>
      <c r="E23" s="60" t="s">
        <v>116</v>
      </c>
      <c r="F23" s="62" t="s">
        <v>117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E2"/>
    <mergeCell ref="I4:I5"/>
  </mergeCells>
  <conditionalFormatting sqref="C4:C23">
    <cfRule type="cellIs" dxfId="5" priority="1" stopIfTrue="1" operator="greaterThan">
      <formula>90</formula>
    </cfRule>
  </conditionalFormatting>
  <conditionalFormatting sqref="C4:C23">
    <cfRule type="cellIs" dxfId="6" priority="2" stopIfTrue="1" operator="lessThan">
      <formula>40</formula>
    </cfRule>
  </conditionalFormatting>
  <conditionalFormatting sqref="D4:D23">
    <cfRule type="cellIs" dxfId="7" priority="3" stopIfTrue="1" operator="lessThan">
      <formula>0.75</formula>
    </cfRule>
  </conditionalFormatting>
  <conditionalFormatting sqref="E4:E23">
    <cfRule type="containsText" dxfId="8" priority="4" stopIfTrue="1" operator="containsText" text="F">
      <formula>NOT(ISERROR(SEARCH(("F"),(E4))))</formula>
    </cfRule>
  </conditionalFormatting>
  <conditionalFormatting sqref="E4:E23">
    <cfRule type="containsText" dxfId="9" priority="5" stopIfTrue="1" operator="containsText" text="A+">
      <formula>NOT(ISERROR(SEARCH(("A+"),(E4))))</formula>
    </cfRule>
  </conditionalFormatting>
  <conditionalFormatting sqref="E4:E23">
    <cfRule type="containsText" dxfId="10" priority="6" stopIfTrue="1" operator="containsText" text="A+ ">
      <formula>NOT(ISERROR(SEARCH(("A+ "),(E4))))</formula>
    </cfRule>
  </conditionalFormatting>
  <conditionalFormatting sqref="F4:F23">
    <cfRule type="containsText" dxfId="11" priority="7" stopIfTrue="1" operator="containsText" text="Pending">
      <formula>NOT(ISERROR(SEARCH(("Pending"),(F4))))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4.29"/>
    <col customWidth="1" min="3" max="3" width="14.43"/>
    <col customWidth="1" min="4" max="4" width="11.43"/>
    <col customWidth="1" min="5" max="6" width="13.29"/>
    <col customWidth="1" min="7" max="7" width="10.71"/>
    <col customWidth="1" min="8" max="8" width="8.71"/>
    <col customWidth="1" min="9" max="9" width="12.71"/>
    <col customWidth="1" min="10" max="10" width="8.71"/>
    <col customWidth="1" min="11" max="11" width="15.71"/>
    <col customWidth="1" min="12" max="12" width="10.29"/>
    <col customWidth="1" min="13" max="15" width="8.71"/>
    <col customWidth="1" min="16" max="16" width="21.71"/>
    <col customWidth="1" min="17" max="17" width="12.86"/>
    <col customWidth="1" min="18" max="26" width="8.71"/>
  </cols>
  <sheetData>
    <row r="1" ht="36.75" customHeight="1">
      <c r="A1" s="63" t="s">
        <v>140</v>
      </c>
      <c r="B1" s="64"/>
      <c r="C1" s="64"/>
      <c r="D1" s="64"/>
      <c r="E1" s="64"/>
      <c r="F1" s="64"/>
      <c r="G1" s="64"/>
      <c r="H1" s="6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4.25" customHeight="1">
      <c r="A2" s="67" t="s">
        <v>141</v>
      </c>
      <c r="B2" s="67" t="s">
        <v>142</v>
      </c>
      <c r="C2" s="68" t="s">
        <v>74</v>
      </c>
      <c r="D2" s="67" t="s">
        <v>71</v>
      </c>
      <c r="E2" s="67" t="s">
        <v>76</v>
      </c>
      <c r="F2" s="67" t="s">
        <v>77</v>
      </c>
      <c r="G2" s="67" t="s">
        <v>143</v>
      </c>
      <c r="H2" s="67" t="s">
        <v>144</v>
      </c>
      <c r="I2" s="67" t="s">
        <v>145</v>
      </c>
      <c r="K2" s="69" t="s">
        <v>146</v>
      </c>
      <c r="L2" s="69" t="s">
        <v>147</v>
      </c>
      <c r="M2" s="69" t="s">
        <v>148</v>
      </c>
      <c r="N2" s="69" t="s">
        <v>149</v>
      </c>
      <c r="O2" s="69" t="s">
        <v>150</v>
      </c>
      <c r="P2" s="69" t="s">
        <v>151</v>
      </c>
      <c r="Q2" s="69" t="s">
        <v>152</v>
      </c>
    </row>
    <row r="3" ht="14.25" customHeight="1">
      <c r="A3" s="70">
        <v>101.0</v>
      </c>
      <c r="B3" s="70" t="s">
        <v>110</v>
      </c>
      <c r="C3" s="70" t="s">
        <v>81</v>
      </c>
      <c r="D3" s="70" t="s">
        <v>153</v>
      </c>
      <c r="E3" s="70">
        <v>120.0</v>
      </c>
      <c r="F3" s="70">
        <v>25.0</v>
      </c>
      <c r="G3" s="70">
        <v>3000.0</v>
      </c>
      <c r="H3" s="70">
        <v>2500.0</v>
      </c>
      <c r="I3" s="70">
        <v>4.0</v>
      </c>
      <c r="K3" s="69">
        <f>SUM(G3:G10)</f>
        <v>35600</v>
      </c>
      <c r="L3" s="69">
        <f>AVERAGE(E3:E10)</f>
        <v>107.5</v>
      </c>
      <c r="M3" s="69">
        <f>COUNT(A3:A10)</f>
        <v>8</v>
      </c>
      <c r="N3" s="69">
        <f>MIN(G3:G10)</f>
        <v>2200</v>
      </c>
      <c r="O3" s="69">
        <f>MAX(G3:G10)</f>
        <v>9000</v>
      </c>
      <c r="P3" s="69" t="str">
        <f t="shared" ref="P3:P10" si="1">IF(G3&gt;=H3,"Target Achieved","Target Missed")</f>
        <v>Target Achieved</v>
      </c>
      <c r="Q3" s="69" t="str">
        <f t="shared" ref="Q3:Q10" si="2">IF(I3&gt;=4,"Excellent",IF(I3=3,"Average","Poor"))</f>
        <v>Excellent</v>
      </c>
    </row>
    <row r="4" ht="14.25" customHeight="1">
      <c r="A4" s="70">
        <v>102.0</v>
      </c>
      <c r="B4" s="70" t="s">
        <v>114</v>
      </c>
      <c r="C4" s="70" t="s">
        <v>84</v>
      </c>
      <c r="D4" s="70" t="s">
        <v>154</v>
      </c>
      <c r="E4" s="70">
        <v>80.0</v>
      </c>
      <c r="F4" s="70">
        <v>60.0</v>
      </c>
      <c r="G4" s="70">
        <v>4800.0</v>
      </c>
      <c r="H4" s="70">
        <v>4500.0</v>
      </c>
      <c r="I4" s="70">
        <v>5.0</v>
      </c>
      <c r="K4" s="71"/>
      <c r="L4" s="71"/>
      <c r="M4" s="71"/>
      <c r="N4" s="71"/>
      <c r="O4" s="71"/>
      <c r="P4" s="69" t="str">
        <f t="shared" si="1"/>
        <v>Target Achieved</v>
      </c>
      <c r="Q4" s="69" t="str">
        <f t="shared" si="2"/>
        <v>Excellent</v>
      </c>
    </row>
    <row r="5" ht="14.25" customHeight="1">
      <c r="A5" s="70">
        <v>103.0</v>
      </c>
      <c r="B5" s="70" t="s">
        <v>12</v>
      </c>
      <c r="C5" s="70" t="s">
        <v>86</v>
      </c>
      <c r="D5" s="70" t="s">
        <v>155</v>
      </c>
      <c r="E5" s="70">
        <v>150.0</v>
      </c>
      <c r="F5" s="70">
        <v>20.0</v>
      </c>
      <c r="G5" s="70">
        <v>3000.0</v>
      </c>
      <c r="H5" s="70">
        <v>3200.0</v>
      </c>
      <c r="I5" s="70">
        <v>3.0</v>
      </c>
      <c r="K5" s="71"/>
      <c r="L5" s="71"/>
      <c r="M5" s="71"/>
      <c r="N5" s="71"/>
      <c r="O5" s="71"/>
      <c r="P5" s="69" t="str">
        <f t="shared" si="1"/>
        <v>Target Missed</v>
      </c>
      <c r="Q5" s="69" t="str">
        <f t="shared" si="2"/>
        <v>Average</v>
      </c>
    </row>
    <row r="6" ht="14.25" customHeight="1">
      <c r="A6" s="70">
        <v>104.0</v>
      </c>
      <c r="B6" s="70" t="s">
        <v>120</v>
      </c>
      <c r="C6" s="70" t="s">
        <v>89</v>
      </c>
      <c r="D6" s="70" t="s">
        <v>156</v>
      </c>
      <c r="E6" s="70">
        <v>90.0</v>
      </c>
      <c r="F6" s="70">
        <v>100.0</v>
      </c>
      <c r="G6" s="70">
        <v>9000.0</v>
      </c>
      <c r="H6" s="70">
        <v>8500.0</v>
      </c>
      <c r="I6" s="70">
        <v>5.0</v>
      </c>
      <c r="K6" s="71"/>
      <c r="L6" s="71"/>
      <c r="M6" s="71"/>
      <c r="N6" s="71"/>
      <c r="O6" s="71"/>
      <c r="P6" s="69" t="str">
        <f t="shared" si="1"/>
        <v>Target Achieved</v>
      </c>
      <c r="Q6" s="69" t="str">
        <f t="shared" si="2"/>
        <v>Excellent</v>
      </c>
    </row>
    <row r="7" ht="14.25" customHeight="1">
      <c r="A7" s="70">
        <v>105.0</v>
      </c>
      <c r="B7" s="70" t="s">
        <v>46</v>
      </c>
      <c r="C7" s="70" t="s">
        <v>81</v>
      </c>
      <c r="D7" s="70" t="s">
        <v>154</v>
      </c>
      <c r="E7" s="70">
        <v>60.0</v>
      </c>
      <c r="F7" s="70">
        <v>60.0</v>
      </c>
      <c r="G7" s="70">
        <v>3600.0</v>
      </c>
      <c r="H7" s="70">
        <v>4000.0</v>
      </c>
      <c r="I7" s="70">
        <v>2.0</v>
      </c>
      <c r="K7" s="71"/>
      <c r="L7" s="71"/>
      <c r="M7" s="71"/>
      <c r="N7" s="71"/>
      <c r="O7" s="71"/>
      <c r="P7" s="69" t="str">
        <f t="shared" si="1"/>
        <v>Target Missed</v>
      </c>
      <c r="Q7" s="69" t="str">
        <f t="shared" si="2"/>
        <v>Poor</v>
      </c>
    </row>
    <row r="8" ht="14.25" customHeight="1">
      <c r="A8" s="70">
        <v>106.0</v>
      </c>
      <c r="B8" s="70" t="s">
        <v>157</v>
      </c>
      <c r="C8" s="70" t="s">
        <v>84</v>
      </c>
      <c r="D8" s="70" t="s">
        <v>153</v>
      </c>
      <c r="E8" s="70">
        <v>200.0</v>
      </c>
      <c r="F8" s="70">
        <v>25.0</v>
      </c>
      <c r="G8" s="70">
        <v>5000.0</v>
      </c>
      <c r="H8" s="70">
        <v>4800.0</v>
      </c>
      <c r="I8" s="70">
        <v>4.0</v>
      </c>
      <c r="K8" s="71"/>
      <c r="L8" s="71"/>
      <c r="M8" s="71"/>
      <c r="N8" s="71"/>
      <c r="O8" s="71"/>
      <c r="P8" s="69" t="str">
        <f t="shared" si="1"/>
        <v>Target Achieved</v>
      </c>
      <c r="Q8" s="69" t="str">
        <f t="shared" si="2"/>
        <v>Excellent</v>
      </c>
    </row>
    <row r="9" ht="14.25" customHeight="1">
      <c r="A9" s="70">
        <v>107.0</v>
      </c>
      <c r="B9" s="70" t="s">
        <v>158</v>
      </c>
      <c r="C9" s="70" t="s">
        <v>86</v>
      </c>
      <c r="D9" s="70" t="s">
        <v>156</v>
      </c>
      <c r="E9" s="70">
        <v>50.0</v>
      </c>
      <c r="F9" s="70">
        <v>100.0</v>
      </c>
      <c r="G9" s="70">
        <v>5000.0</v>
      </c>
      <c r="H9" s="70">
        <v>5200.0</v>
      </c>
      <c r="I9" s="70">
        <v>3.0</v>
      </c>
      <c r="K9" s="71"/>
      <c r="L9" s="71"/>
      <c r="M9" s="71"/>
      <c r="N9" s="71"/>
      <c r="O9" s="71"/>
      <c r="P9" s="69" t="str">
        <f t="shared" si="1"/>
        <v>Target Missed</v>
      </c>
      <c r="Q9" s="69" t="str">
        <f t="shared" si="2"/>
        <v>Average</v>
      </c>
    </row>
    <row r="10" ht="14.25" customHeight="1">
      <c r="A10" s="70">
        <v>108.0</v>
      </c>
      <c r="B10" s="70" t="s">
        <v>68</v>
      </c>
      <c r="C10" s="70" t="s">
        <v>89</v>
      </c>
      <c r="D10" s="70" t="s">
        <v>155</v>
      </c>
      <c r="E10" s="70">
        <v>110.0</v>
      </c>
      <c r="F10" s="70">
        <v>20.0</v>
      </c>
      <c r="G10" s="70">
        <v>2200.0</v>
      </c>
      <c r="H10" s="70">
        <v>2000.0</v>
      </c>
      <c r="I10" s="70">
        <v>5.0</v>
      </c>
      <c r="K10" s="71"/>
      <c r="L10" s="71"/>
      <c r="M10" s="71"/>
      <c r="N10" s="71"/>
      <c r="O10" s="71"/>
      <c r="P10" s="69" t="str">
        <f t="shared" si="1"/>
        <v>Target Achieved</v>
      </c>
      <c r="Q10" s="69" t="str">
        <f t="shared" si="2"/>
        <v>Excellent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3"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>
      <c r="C5" s="29"/>
      <c r="D5" s="29"/>
      <c r="E5" s="72" t="s">
        <v>159</v>
      </c>
      <c r="I5" s="29"/>
      <c r="J5" s="29"/>
      <c r="K5" s="29"/>
      <c r="L5" s="72" t="s">
        <v>160</v>
      </c>
      <c r="Q5" s="29"/>
    </row>
    <row r="6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>
      <c r="C7" s="29"/>
      <c r="D7" s="29"/>
      <c r="E7" s="29"/>
      <c r="F7" s="29"/>
      <c r="G7" s="29"/>
      <c r="H7" s="29"/>
      <c r="I7" s="29"/>
      <c r="J7" s="29"/>
      <c r="K7" s="29"/>
      <c r="L7" s="73" t="s">
        <v>63</v>
      </c>
      <c r="M7" s="74" t="s">
        <v>161</v>
      </c>
      <c r="N7" s="74" t="s">
        <v>64</v>
      </c>
      <c r="O7" s="74" t="s">
        <v>65</v>
      </c>
      <c r="P7" s="75" t="s">
        <v>162</v>
      </c>
      <c r="Q7" s="29"/>
    </row>
    <row r="8">
      <c r="C8" s="29"/>
      <c r="D8" s="29"/>
      <c r="E8" s="76" t="s">
        <v>63</v>
      </c>
      <c r="F8" s="77" t="s">
        <v>161</v>
      </c>
      <c r="G8" s="77" t="s">
        <v>64</v>
      </c>
      <c r="H8" s="77" t="s">
        <v>65</v>
      </c>
      <c r="I8" s="29"/>
      <c r="J8" s="29"/>
      <c r="K8" s="29"/>
      <c r="L8" s="78" t="s">
        <v>163</v>
      </c>
      <c r="M8" s="78">
        <v>15.0</v>
      </c>
      <c r="N8" s="78" t="s">
        <v>164</v>
      </c>
      <c r="O8" s="79" t="s">
        <v>165</v>
      </c>
      <c r="P8" s="80" t="s">
        <v>166</v>
      </c>
      <c r="Q8" s="29"/>
    </row>
    <row r="9">
      <c r="C9" s="29"/>
      <c r="D9" s="29"/>
      <c r="E9" s="81" t="s">
        <v>163</v>
      </c>
      <c r="F9" s="81">
        <v>15.0</v>
      </c>
      <c r="G9" s="81" t="s">
        <v>164</v>
      </c>
      <c r="H9" s="81">
        <v>5000.0</v>
      </c>
      <c r="I9" s="29"/>
      <c r="J9" s="29"/>
      <c r="K9" s="29"/>
      <c r="L9" s="82" t="s">
        <v>167</v>
      </c>
      <c r="M9" s="83">
        <v>14.0</v>
      </c>
      <c r="N9" s="83" t="s">
        <v>168</v>
      </c>
      <c r="O9" s="84" t="s">
        <v>169</v>
      </c>
      <c r="P9" s="85" t="s">
        <v>170</v>
      </c>
      <c r="Q9" s="29"/>
    </row>
    <row r="10">
      <c r="C10" s="29"/>
      <c r="D10" s="29"/>
      <c r="E10" s="86" t="s">
        <v>167</v>
      </c>
      <c r="F10" s="87">
        <v>14.0</v>
      </c>
      <c r="G10" s="87" t="s">
        <v>168</v>
      </c>
      <c r="H10" s="86">
        <v>4500.0</v>
      </c>
      <c r="I10" s="29"/>
      <c r="J10" s="29"/>
      <c r="K10" s="29"/>
      <c r="L10" s="78" t="s">
        <v>12</v>
      </c>
      <c r="M10" s="78">
        <v>16.0</v>
      </c>
      <c r="N10" s="78" t="s">
        <v>171</v>
      </c>
      <c r="O10" s="79" t="s">
        <v>172</v>
      </c>
      <c r="P10" s="80" t="s">
        <v>166</v>
      </c>
      <c r="Q10" s="29"/>
    </row>
    <row r="11">
      <c r="C11" s="29"/>
      <c r="D11" s="29"/>
      <c r="E11" s="81" t="s">
        <v>12</v>
      </c>
      <c r="F11" s="81">
        <v>16.0</v>
      </c>
      <c r="G11" s="81" t="s">
        <v>171</v>
      </c>
      <c r="H11" s="81">
        <v>6000.0</v>
      </c>
      <c r="I11" s="29"/>
      <c r="J11" s="29"/>
      <c r="K11" s="29"/>
      <c r="L11" s="82" t="s">
        <v>120</v>
      </c>
      <c r="M11" s="83">
        <v>15.0</v>
      </c>
      <c r="N11" s="83" t="s">
        <v>164</v>
      </c>
      <c r="O11" s="84" t="s">
        <v>173</v>
      </c>
      <c r="P11" s="85" t="s">
        <v>166</v>
      </c>
      <c r="Q11" s="29"/>
    </row>
    <row r="12">
      <c r="C12" s="29"/>
      <c r="D12" s="29"/>
      <c r="E12" s="86" t="s">
        <v>120</v>
      </c>
      <c r="F12" s="87">
        <v>15.0</v>
      </c>
      <c r="G12" s="87" t="s">
        <v>164</v>
      </c>
      <c r="H12" s="86">
        <v>5200.0</v>
      </c>
      <c r="I12" s="29"/>
      <c r="J12" s="29"/>
      <c r="K12" s="29"/>
      <c r="L12" s="78" t="s">
        <v>174</v>
      </c>
      <c r="M12" s="78">
        <v>14.0</v>
      </c>
      <c r="N12" s="78" t="s">
        <v>168</v>
      </c>
      <c r="O12" s="79" t="s">
        <v>175</v>
      </c>
      <c r="P12" s="88" t="s">
        <v>170</v>
      </c>
      <c r="Q12" s="29"/>
    </row>
    <row r="13">
      <c r="C13" s="29"/>
      <c r="D13" s="29"/>
      <c r="E13" s="81" t="s">
        <v>174</v>
      </c>
      <c r="F13" s="81">
        <v>14.0</v>
      </c>
      <c r="G13" s="81" t="s">
        <v>168</v>
      </c>
      <c r="H13" s="81">
        <v>4700.0</v>
      </c>
      <c r="I13" s="29"/>
      <c r="J13" s="29"/>
      <c r="K13" s="29"/>
      <c r="L13" s="29"/>
      <c r="M13" s="29"/>
      <c r="N13" s="29"/>
      <c r="O13" s="29"/>
      <c r="P13" s="29"/>
      <c r="Q13" s="29"/>
    </row>
    <row r="14"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5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</sheetData>
  <mergeCells count="2">
    <mergeCell ref="E5:H5"/>
    <mergeCell ref="L5:P5"/>
  </mergeCells>
  <drawing r:id="rId1"/>
</worksheet>
</file>